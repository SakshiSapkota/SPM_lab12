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pm\"/>
    </mc:Choice>
  </mc:AlternateContent>
  <xr:revisionPtr revIDLastSave="0" documentId="13_ncr:1_{DCCB3E08-42AD-402E-8AAE-9A774D63FC2B}" xr6:coauthVersionLast="47" xr6:coauthVersionMax="47" xr10:uidLastSave="{00000000-0000-0000-0000-000000000000}"/>
  <bookViews>
    <workbookView xWindow="-96" yWindow="0" windowWidth="11712" windowHeight="12336" xr2:uid="{1C73920C-77AC-4F2F-838A-BD5A06608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9" i="1"/>
  <c r="B10" i="1"/>
  <c r="E3" i="1"/>
  <c r="E4" i="1"/>
  <c r="E5" i="1"/>
  <c r="E6" i="1"/>
  <c r="E7" i="1"/>
  <c r="E2" i="1"/>
  <c r="D3" i="1"/>
  <c r="F3" i="1" s="1"/>
  <c r="D4" i="1"/>
  <c r="F4" i="1" s="1"/>
  <c r="D5" i="1"/>
  <c r="F5" i="1" s="1"/>
  <c r="D6" i="1"/>
  <c r="F6" i="1" s="1"/>
  <c r="D7" i="1"/>
  <c r="F7" i="1" s="1"/>
  <c r="D2" i="1"/>
  <c r="F2" i="1" s="1"/>
  <c r="G2" i="1" l="1"/>
  <c r="G3" i="1" s="1"/>
  <c r="G4" i="1" s="1"/>
  <c r="G5" i="1" s="1"/>
  <c r="G6" i="1" s="1"/>
  <c r="G7" i="1" s="1"/>
</calcChain>
</file>

<file path=xl/sharedStrings.xml><?xml version="1.0" encoding="utf-8"?>
<sst xmlns="http://schemas.openxmlformats.org/spreadsheetml/2006/main" count="15" uniqueCount="14">
  <si>
    <t>Year</t>
  </si>
  <si>
    <t>Cost</t>
  </si>
  <si>
    <t>Benefit</t>
  </si>
  <si>
    <t>PV Factor</t>
  </si>
  <si>
    <t xml:space="preserve">PV of Net Benefit </t>
  </si>
  <si>
    <t>Cumulative PV</t>
  </si>
  <si>
    <t>NPV</t>
  </si>
  <si>
    <t>BCR</t>
  </si>
  <si>
    <t>Payback Period</t>
  </si>
  <si>
    <t>Total Benefit</t>
  </si>
  <si>
    <t>Total Cost</t>
  </si>
  <si>
    <t>ROI</t>
  </si>
  <si>
    <t>sakshi</t>
  </si>
  <si>
    <t>sapkota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</si>
</sst>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</a:t>
            </a:r>
            <a:r>
              <a:rPr lang="en-US" sz="1400" b="0" i="0" u="none" strike="noStrike" baseline="0"/>
              <a:t>Benefits vs Costs by Year</a:t>
            </a:r>
            <a:r>
              <a:rPr lang="en-US"/>
              <a:t>t Title</a:t>
            </a:r>
          </a:p>
        </c:rich>
      </c:tx>
      <c:layout>
        <c:manualLayout>
          <c:xMode val="edge"/>
          <c:yMode val="edge"/>
          <c:x val="0.2237985564304461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E-4BEE-93B3-B27F918371E0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Sheet1!$B$2:$B$7</c:f>
              <c:numCache>
                <c:formatCode>General</c:formatCode>
                <c:ptCount val="6"/>
                <c:pt idx="0">
                  <c:v>60000</c:v>
                </c:pt>
                <c:pt idx="1">
                  <c:v>8000</c:v>
                </c:pt>
                <c:pt idx="2">
                  <c:v>7000</c:v>
                </c:pt>
                <c:pt idx="3">
                  <c:v>6500</c:v>
                </c:pt>
                <c:pt idx="4">
                  <c:v>5500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FE-4BEE-93B3-B27F918371E0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Benefit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22000</c:v>
                </c:pt>
                <c:pt idx="2">
                  <c:v>25000</c:v>
                </c:pt>
                <c:pt idx="3">
                  <c:v>28000</c:v>
                </c:pt>
                <c:pt idx="4">
                  <c:v>30000</c:v>
                </c:pt>
                <c:pt idx="5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FE-4BEE-93B3-B27F91837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63295"/>
        <c:axId val="1548077215"/>
      </c:barChart>
      <c:catAx>
        <c:axId val="154806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77215"/>
        <c:crosses val="autoZero"/>
        <c:auto val="1"/>
        <c:lblAlgn val="ctr"/>
        <c:lblOffset val="100"/>
        <c:noMultiLvlLbl val="0"/>
      </c:catAx>
      <c:valAx>
        <c:axId val="15480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6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12</xdr:row>
      <xdr:rowOff>22860</xdr:rowOff>
    </xdr:from>
    <xdr:to>
      <xdr:col>8</xdr:col>
      <xdr:colOff>350520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1B2DD-B4D3-5D67-70D0-493445623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6BD5-7E56-45E5-B34B-F14692B2F703}">
  <dimension ref="A1:G14"/>
  <sheetViews>
    <sheetView tabSelected="1" topLeftCell="A10" workbookViewId="0">
      <selection activeCell="G36" sqref="G36"/>
    </sheetView>
  </sheetViews>
  <sheetFormatPr defaultRowHeight="14.4" x14ac:dyDescent="0.3"/>
  <cols>
    <col min="1" max="1" width="13.44140625" bestFit="1" customWidth="1"/>
    <col min="2" max="2" width="11.5546875" bestFit="1" customWidth="1"/>
    <col min="4" max="4" width="11" customWidth="1"/>
    <col min="5" max="5" width="10" customWidth="1"/>
    <col min="6" max="6" width="14" customWidth="1"/>
    <col min="7" max="7" width="12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3">
      <c r="A2">
        <v>0</v>
      </c>
      <c r="B2">
        <v>60000</v>
      </c>
      <c r="C2">
        <v>0</v>
      </c>
      <c r="D2">
        <f>C2-B2</f>
        <v>-60000</v>
      </c>
      <c r="E2">
        <f>1/(1+0.12)^A2</f>
        <v>1</v>
      </c>
      <c r="F2">
        <f>D2*E2</f>
        <v>-60000</v>
      </c>
      <c r="G2">
        <f>F2</f>
        <v>-60000</v>
      </c>
    </row>
    <row r="3" spans="1:7" x14ac:dyDescent="0.3">
      <c r="A3">
        <v>1</v>
      </c>
      <c r="B3">
        <v>8000</v>
      </c>
      <c r="C3">
        <v>22000</v>
      </c>
      <c r="D3">
        <f t="shared" ref="D3:D7" si="0">C3-B3</f>
        <v>14000</v>
      </c>
      <c r="E3">
        <f t="shared" ref="E3:E7" si="1">1/(1+0.12)^A3</f>
        <v>0.89285714285714279</v>
      </c>
      <c r="F3">
        <f t="shared" ref="F3:F7" si="2">D3*E3</f>
        <v>12500</v>
      </c>
      <c r="G3">
        <f>G2+F3</f>
        <v>-47500</v>
      </c>
    </row>
    <row r="4" spans="1:7" x14ac:dyDescent="0.3">
      <c r="A4">
        <v>2</v>
      </c>
      <c r="B4">
        <v>7000</v>
      </c>
      <c r="C4">
        <v>25000</v>
      </c>
      <c r="D4">
        <f t="shared" si="0"/>
        <v>18000</v>
      </c>
      <c r="E4">
        <f t="shared" si="1"/>
        <v>0.79719387755102034</v>
      </c>
      <c r="F4">
        <f t="shared" si="2"/>
        <v>14349.489795918365</v>
      </c>
      <c r="G4">
        <f t="shared" ref="G4:G7" si="3">G3+F4</f>
        <v>-33150.510204081635</v>
      </c>
    </row>
    <row r="5" spans="1:7" x14ac:dyDescent="0.3">
      <c r="A5">
        <v>3</v>
      </c>
      <c r="B5">
        <v>6500</v>
      </c>
      <c r="C5">
        <v>28000</v>
      </c>
      <c r="D5">
        <f t="shared" si="0"/>
        <v>21500</v>
      </c>
      <c r="E5">
        <f t="shared" si="1"/>
        <v>0.71178024781341087</v>
      </c>
      <c r="F5">
        <f t="shared" si="2"/>
        <v>15303.275327988335</v>
      </c>
      <c r="G5">
        <f t="shared" si="3"/>
        <v>-17847.234876093302</v>
      </c>
    </row>
    <row r="6" spans="1:7" x14ac:dyDescent="0.3">
      <c r="A6">
        <v>4</v>
      </c>
      <c r="B6">
        <v>5500</v>
      </c>
      <c r="C6">
        <v>30000</v>
      </c>
      <c r="D6">
        <f t="shared" si="0"/>
        <v>24500</v>
      </c>
      <c r="E6">
        <f t="shared" si="1"/>
        <v>0.63551807840483121</v>
      </c>
      <c r="F6">
        <f t="shared" si="2"/>
        <v>15570.192920918365</v>
      </c>
      <c r="G6">
        <f t="shared" si="3"/>
        <v>-2277.0419551749364</v>
      </c>
    </row>
    <row r="7" spans="1:7" x14ac:dyDescent="0.3">
      <c r="A7">
        <v>5</v>
      </c>
      <c r="B7">
        <v>4000</v>
      </c>
      <c r="C7">
        <v>32000</v>
      </c>
      <c r="D7">
        <f t="shared" si="0"/>
        <v>28000</v>
      </c>
      <c r="E7">
        <f t="shared" si="1"/>
        <v>0.56742685571859919</v>
      </c>
      <c r="F7">
        <f t="shared" si="2"/>
        <v>15887.951960120778</v>
      </c>
      <c r="G7">
        <f t="shared" si="3"/>
        <v>13610.910004945841</v>
      </c>
    </row>
    <row r="9" spans="1:7" x14ac:dyDescent="0.3">
      <c r="A9" t="s">
        <v>9</v>
      </c>
      <c r="B9">
        <f>SUM(C2:C7)</f>
        <v>137000</v>
      </c>
    </row>
    <row r="10" spans="1:7" x14ac:dyDescent="0.3">
      <c r="A10" t="s">
        <v>10</v>
      </c>
      <c r="B10">
        <f>SUM(B2:B7)</f>
        <v>91000</v>
      </c>
    </row>
    <row r="11" spans="1:7" x14ac:dyDescent="0.3">
      <c r="A11" t="s">
        <v>6</v>
      </c>
      <c r="B11">
        <f>SUM(F2:F7)</f>
        <v>13610.910004945841</v>
      </c>
      <c r="E11" t="s">
        <v>12</v>
      </c>
    </row>
    <row r="12" spans="1:7" x14ac:dyDescent="0.3">
      <c r="A12" t="s">
        <v>7</v>
      </c>
      <c r="B12">
        <f>B9/B10</f>
        <v>1.5054945054945055</v>
      </c>
      <c r="F12" t="s">
        <v>13</v>
      </c>
    </row>
    <row r="13" spans="1:7" x14ac:dyDescent="0.3">
      <c r="A13" t="s">
        <v>8</v>
      </c>
      <c r="B13">
        <f>B2/C3</f>
        <v>2.7272727272727271</v>
      </c>
    </row>
    <row r="14" spans="1:7" x14ac:dyDescent="0.3">
      <c r="A14" t="s">
        <v>11</v>
      </c>
      <c r="B14">
        <f>(B9-B10)/B10*100</f>
        <v>50.549450549450547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Sapkota</dc:creator>
  <cp:lastModifiedBy>Sakshi Sapkota</cp:lastModifiedBy>
  <dcterms:created xsi:type="dcterms:W3CDTF">2026-05-12T16:13:34Z</dcterms:created>
  <dcterms:modified xsi:type="dcterms:W3CDTF">2026-05-12T16:40:05Z</dcterms:modified>
</cp:coreProperties>
</file>