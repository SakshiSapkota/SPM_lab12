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pm\"/>
    </mc:Choice>
  </mc:AlternateContent>
  <xr:revisionPtr revIDLastSave="0" documentId="8_{408F4FB1-F467-4AC0-84EB-7AF2FB6D2AE6}" xr6:coauthVersionLast="47" xr6:coauthVersionMax="47" xr10:uidLastSave="{00000000-0000-0000-0000-000000000000}"/>
  <bookViews>
    <workbookView xWindow="-96" yWindow="0" windowWidth="13776" windowHeight="12336" xr2:uid="{03F75CB6-81B2-4CB5-82B3-42D38270F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5" i="1" l="1"/>
  <c r="B43" i="1"/>
  <c r="B44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C10" i="1"/>
  <c r="B10" i="1"/>
  <c r="C9" i="1"/>
  <c r="B9" i="1"/>
  <c r="C8" i="1"/>
  <c r="B8" i="1"/>
  <c r="C7" i="1"/>
  <c r="B7" i="1"/>
</calcChain>
</file>

<file path=xl/sharedStrings.xml><?xml version="1.0" encoding="utf-8"?>
<sst xmlns="http://schemas.openxmlformats.org/spreadsheetml/2006/main" count="21" uniqueCount="20">
  <si>
    <t>Expected Duration(TE)</t>
  </si>
  <si>
    <t>Standard Deviation(σ)</t>
  </si>
  <si>
    <t>Critical Path</t>
  </si>
  <si>
    <t>A → D → F → H</t>
  </si>
  <si>
    <t>Target Date (Ts)</t>
  </si>
  <si>
    <t>Z Formula</t>
  </si>
  <si>
    <t>Z Value</t>
  </si>
  <si>
    <t>Probability (%)</t>
  </si>
  <si>
    <t>22 weeks</t>
  </si>
  <si>
    <t>Low chance — likely late</t>
  </si>
  <si>
    <t>25 weeks</t>
  </si>
  <si>
    <t>Slightly ahead</t>
  </si>
  <si>
    <t>27 weeks</t>
  </si>
  <si>
    <t>Good chance of finishing</t>
  </si>
  <si>
    <t>30 weeks</t>
  </si>
  <si>
    <t>Very high confidence</t>
  </si>
  <si>
    <t>Probability</t>
  </si>
  <si>
    <t>X (weeks)</t>
  </si>
  <si>
    <t>Probability Density</t>
  </si>
  <si>
    <t>Sakshi Sapkota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</si>
</sst>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1243000874890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Probability Density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Sheet1!$A$26:$A$45</c:f>
              <c:numCache>
                <c:formatCode>General</c:formatCode>
                <c:ptCount val="2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</c:numCache>
            </c:numRef>
          </c:xVal>
          <c:yVal>
            <c:numRef>
              <c:f>Sheet1!$B$26:$B$45</c:f>
              <c:numCache>
                <c:formatCode>General</c:formatCode>
                <c:ptCount val="20"/>
                <c:pt idx="0">
                  <c:v>6.9007712421031747E-4</c:v>
                </c:pt>
                <c:pt idx="1">
                  <c:v>2.0228644816241165E-3</c:v>
                </c:pt>
                <c:pt idx="2">
                  <c:v>5.2504928245233513E-3</c:v>
                </c:pt>
                <c:pt idx="3">
                  <c:v>1.2066948856791986E-2</c:v>
                </c:pt>
                <c:pt idx="4">
                  <c:v>2.4556077606644737E-2</c:v>
                </c:pt>
                <c:pt idx="5">
                  <c:v>4.4247082981683887E-2</c:v>
                </c:pt>
                <c:pt idx="6">
                  <c:v>7.059507676336331E-2</c:v>
                </c:pt>
                <c:pt idx="7">
                  <c:v>9.9730571371204474E-2</c:v>
                </c:pt>
                <c:pt idx="8">
                  <c:v>0.12475165676000162</c:v>
                </c:pt>
                <c:pt idx="9">
                  <c:v>0.1381746773531794</c:v>
                </c:pt>
                <c:pt idx="10">
                  <c:v>0.1355110525998609</c:v>
                </c:pt>
                <c:pt idx="11">
                  <c:v>0.11767524216518691</c:v>
                </c:pt>
                <c:pt idx="12">
                  <c:v>9.0481461124742507E-2</c:v>
                </c:pt>
                <c:pt idx="13">
                  <c:v>6.1602485035280409E-2</c:v>
                </c:pt>
                <c:pt idx="14">
                  <c:v>3.7136500911502085E-2</c:v>
                </c:pt>
                <c:pt idx="15">
                  <c:v>1.9822930242406039E-2</c:v>
                </c:pt>
                <c:pt idx="16">
                  <c:v>9.3691209755989054E-3</c:v>
                </c:pt>
                <c:pt idx="17">
                  <c:v>3.9209740050477936E-3</c:v>
                </c:pt>
                <c:pt idx="18">
                  <c:v>1.4529584728256053E-3</c:v>
                </c:pt>
                <c:pt idx="19">
                  <c:v>4.7673447942518204E-4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B5-4EE3-B51B-4351BE472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234927"/>
        <c:axId val="1568233487"/>
      </c:scatterChart>
      <c:valAx>
        <c:axId val="156823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33487"/>
        <c:crosses val="autoZero"/>
        <c:crossBetween val="midCat"/>
      </c:valAx>
      <c:valAx>
        <c:axId val="156823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3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31</xdr:row>
      <xdr:rowOff>15240</xdr:rowOff>
    </xdr:from>
    <xdr:to>
      <xdr:col>8</xdr:col>
      <xdr:colOff>205740</xdr:colOff>
      <xdr:row>46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1C5E4E-7107-D168-05D5-34907F15F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253B-7F9A-4A66-81C1-B5D2308AA613}">
  <dimension ref="A1:D45"/>
  <sheetViews>
    <sheetView tabSelected="1" topLeftCell="A21" workbookViewId="0">
      <selection activeCell="K36" sqref="A1:XFD1048576"/>
    </sheetView>
  </sheetViews>
  <sheetFormatPr defaultRowHeight="14.4" x14ac:dyDescent="0.3"/>
  <cols>
    <col min="1" max="1" width="18.77734375" bestFit="1" customWidth="1"/>
    <col min="2" max="2" width="15.77734375" bestFit="1" customWidth="1"/>
    <col min="4" max="4" width="20.44140625" bestFit="1" customWidth="1"/>
  </cols>
  <sheetData>
    <row r="1" spans="1:4" x14ac:dyDescent="0.3">
      <c r="A1" t="s">
        <v>0</v>
      </c>
      <c r="B1">
        <v>24.34</v>
      </c>
    </row>
    <row r="2" spans="1:4" x14ac:dyDescent="0.3">
      <c r="A2" t="s">
        <v>1</v>
      </c>
      <c r="B2">
        <v>2.867</v>
      </c>
    </row>
    <row r="3" spans="1:4" x14ac:dyDescent="0.3">
      <c r="A3" t="s">
        <v>2</v>
      </c>
      <c r="B3" t="s">
        <v>3</v>
      </c>
    </row>
    <row r="6" spans="1:4" x14ac:dyDescent="0.3">
      <c r="A6" s="1" t="s">
        <v>4</v>
      </c>
      <c r="B6" s="1" t="s">
        <v>5</v>
      </c>
      <c r="C6" s="1" t="s">
        <v>6</v>
      </c>
      <c r="D6" s="1" t="s">
        <v>7</v>
      </c>
    </row>
    <row r="7" spans="1:4" x14ac:dyDescent="0.3">
      <c r="A7" t="s">
        <v>8</v>
      </c>
      <c r="B7">
        <f>(22-B1)/B2</f>
        <v>-0.81618416463201948</v>
      </c>
      <c r="C7">
        <f>_xlfn.NORM.S.DIST(B7,TRUE)*100</f>
        <v>20.719740615730871</v>
      </c>
      <c r="D7" t="s">
        <v>9</v>
      </c>
    </row>
    <row r="8" spans="1:4" x14ac:dyDescent="0.3">
      <c r="A8" t="s">
        <v>10</v>
      </c>
      <c r="B8">
        <f>(25-B1)/B2</f>
        <v>0.23020579002441582</v>
      </c>
      <c r="C8">
        <f>_xlfn.NORM.S.DIST(B8,TRUE)*100</f>
        <v>59.103406855631931</v>
      </c>
      <c r="D8" t="s">
        <v>11</v>
      </c>
    </row>
    <row r="9" spans="1:4" x14ac:dyDescent="0.3">
      <c r="A9" t="s">
        <v>12</v>
      </c>
      <c r="B9">
        <f>(27-B1)/B2</f>
        <v>0.92779909312870601</v>
      </c>
      <c r="C9">
        <f>_xlfn.NORM.S.DIST(B9,TRUE)*100</f>
        <v>82.324410272624561</v>
      </c>
      <c r="D9" t="s">
        <v>13</v>
      </c>
    </row>
    <row r="10" spans="1:4" ht="15" x14ac:dyDescent="0.35">
      <c r="A10" t="s">
        <v>14</v>
      </c>
      <c r="B10" s="2">
        <f>(30-B1)/B2</f>
        <v>1.9741890477851414</v>
      </c>
      <c r="C10">
        <f>_xlfn.NORM.S.DIST(B10,TRUE)*100</f>
        <v>97.581987456089863</v>
      </c>
      <c r="D10" t="s">
        <v>15</v>
      </c>
    </row>
    <row r="13" spans="1:4" x14ac:dyDescent="0.3">
      <c r="A13" t="s">
        <v>6</v>
      </c>
      <c r="B13" t="s">
        <v>16</v>
      </c>
    </row>
    <row r="14" spans="1:4" x14ac:dyDescent="0.3">
      <c r="A14">
        <v>-2</v>
      </c>
      <c r="B14" s="3">
        <v>2.3E-2</v>
      </c>
    </row>
    <row r="15" spans="1:4" x14ac:dyDescent="0.3">
      <c r="A15">
        <v>-1.5</v>
      </c>
      <c r="B15" s="3">
        <v>6.7000000000000004E-2</v>
      </c>
    </row>
    <row r="16" spans="1:4" x14ac:dyDescent="0.3">
      <c r="A16">
        <v>-1</v>
      </c>
      <c r="B16" s="3">
        <v>0.159</v>
      </c>
    </row>
    <row r="17" spans="1:4" x14ac:dyDescent="0.3">
      <c r="A17">
        <v>-0.5</v>
      </c>
      <c r="B17" s="3">
        <v>0.309</v>
      </c>
    </row>
    <row r="18" spans="1:4" x14ac:dyDescent="0.3">
      <c r="A18">
        <v>0</v>
      </c>
      <c r="B18" s="3">
        <v>0.5</v>
      </c>
    </row>
    <row r="19" spans="1:4" x14ac:dyDescent="0.3">
      <c r="A19">
        <v>0.5</v>
      </c>
      <c r="B19" s="3">
        <v>0.69099999999999995</v>
      </c>
    </row>
    <row r="20" spans="1:4" x14ac:dyDescent="0.3">
      <c r="A20">
        <v>1</v>
      </c>
      <c r="B20" s="3">
        <v>0.84099999999999997</v>
      </c>
    </row>
    <row r="21" spans="1:4" x14ac:dyDescent="0.3">
      <c r="A21">
        <v>1.5</v>
      </c>
      <c r="B21" s="3">
        <v>0.93300000000000005</v>
      </c>
    </row>
    <row r="22" spans="1:4" x14ac:dyDescent="0.3">
      <c r="A22">
        <v>2</v>
      </c>
      <c r="B22" s="3">
        <v>0.97699999999999998</v>
      </c>
    </row>
    <row r="25" spans="1:4" x14ac:dyDescent="0.3">
      <c r="A25" t="s">
        <v>17</v>
      </c>
      <c r="B25" t="s">
        <v>18</v>
      </c>
    </row>
    <row r="26" spans="1:4" x14ac:dyDescent="0.3">
      <c r="A26">
        <v>15</v>
      </c>
      <c r="B26">
        <f>_xlfn.NORM.DIST(15,B1,B2,FALSE)</f>
        <v>6.9007712421031747E-4</v>
      </c>
    </row>
    <row r="27" spans="1:4" x14ac:dyDescent="0.3">
      <c r="A27">
        <v>16</v>
      </c>
      <c r="B27">
        <f>_xlfn.NORM.DIST(16,B1,B2,FALSE)</f>
        <v>2.0228644816241165E-3</v>
      </c>
    </row>
    <row r="28" spans="1:4" x14ac:dyDescent="0.3">
      <c r="A28">
        <v>17</v>
      </c>
      <c r="B28">
        <f>_xlfn.NORM.DIST(17,B1,B2,FALSE)</f>
        <v>5.2504928245233513E-3</v>
      </c>
    </row>
    <row r="29" spans="1:4" x14ac:dyDescent="0.3">
      <c r="A29">
        <v>18</v>
      </c>
      <c r="B29">
        <f>_xlfn.NORM.DIST(18,B1,B2,FALSE)</f>
        <v>1.2066948856791986E-2</v>
      </c>
    </row>
    <row r="30" spans="1:4" x14ac:dyDescent="0.3">
      <c r="A30">
        <v>19</v>
      </c>
      <c r="B30">
        <f>_xlfn.NORM.DIST(19,B1,B2,FALSE)</f>
        <v>2.4556077606644737E-2</v>
      </c>
    </row>
    <row r="31" spans="1:4" x14ac:dyDescent="0.3">
      <c r="A31">
        <v>20</v>
      </c>
      <c r="B31">
        <f>_xlfn.NORM.DIST(20,B1,B2,FALSE)</f>
        <v>4.4247082981683887E-2</v>
      </c>
      <c r="D31" t="s">
        <v>19</v>
      </c>
    </row>
    <row r="32" spans="1:4" x14ac:dyDescent="0.3">
      <c r="A32">
        <v>21</v>
      </c>
      <c r="B32">
        <f>_xlfn.NORM.DIST(21,B1,B2,FALSE)</f>
        <v>7.059507676336331E-2</v>
      </c>
    </row>
    <row r="33" spans="1:2" x14ac:dyDescent="0.3">
      <c r="A33">
        <v>22</v>
      </c>
      <c r="B33">
        <f>_xlfn.NORM.DIST(22,B1,B2,FALSE)</f>
        <v>9.9730571371204474E-2</v>
      </c>
    </row>
    <row r="34" spans="1:2" x14ac:dyDescent="0.3">
      <c r="A34">
        <v>23</v>
      </c>
      <c r="B34">
        <f>_xlfn.NORM.DIST(23,B1,B2,FALSE)</f>
        <v>0.12475165676000162</v>
      </c>
    </row>
    <row r="35" spans="1:2" x14ac:dyDescent="0.3">
      <c r="A35">
        <v>24</v>
      </c>
      <c r="B35">
        <f>_xlfn.NORM.DIST(24,B1,B2,FALSE)</f>
        <v>0.1381746773531794</v>
      </c>
    </row>
    <row r="36" spans="1:2" x14ac:dyDescent="0.3">
      <c r="A36">
        <v>25</v>
      </c>
      <c r="B36">
        <f>_xlfn.NORM.DIST(25,B1,B2,FALSE)</f>
        <v>0.1355110525998609</v>
      </c>
    </row>
    <row r="37" spans="1:2" x14ac:dyDescent="0.3">
      <c r="A37">
        <v>26</v>
      </c>
      <c r="B37">
        <f>_xlfn.NORM.DIST(26,B1,B2,FALSE)</f>
        <v>0.11767524216518691</v>
      </c>
    </row>
    <row r="38" spans="1:2" x14ac:dyDescent="0.3">
      <c r="A38">
        <v>27</v>
      </c>
      <c r="B38">
        <f>_xlfn.NORM.DIST(27,B1,B2,FALSE)</f>
        <v>9.0481461124742507E-2</v>
      </c>
    </row>
    <row r="39" spans="1:2" x14ac:dyDescent="0.3">
      <c r="A39">
        <v>28</v>
      </c>
      <c r="B39">
        <f>_xlfn.NORM.DIST(28,B1,B2,FALSE)</f>
        <v>6.1602485035280409E-2</v>
      </c>
    </row>
    <row r="40" spans="1:2" x14ac:dyDescent="0.3">
      <c r="A40">
        <v>29</v>
      </c>
      <c r="B40">
        <f>_xlfn.NORM.DIST(29,B1,B2,FALSE)</f>
        <v>3.7136500911502085E-2</v>
      </c>
    </row>
    <row r="41" spans="1:2" x14ac:dyDescent="0.3">
      <c r="A41">
        <v>30</v>
      </c>
      <c r="B41">
        <f>_xlfn.NORM.DIST(30,B1,B2,FALSE)</f>
        <v>1.9822930242406039E-2</v>
      </c>
    </row>
    <row r="42" spans="1:2" x14ac:dyDescent="0.3">
      <c r="A42">
        <v>31</v>
      </c>
      <c r="B42">
        <f>_xlfn.NORM.DIST(31,B1,B2,FALSE)</f>
        <v>9.3691209755989054E-3</v>
      </c>
    </row>
    <row r="43" spans="1:2" x14ac:dyDescent="0.3">
      <c r="A43">
        <v>32</v>
      </c>
      <c r="B43">
        <f>_xlfn.NORM.DIST(32,B1,B2,FALSE)</f>
        <v>3.9209740050477936E-3</v>
      </c>
    </row>
    <row r="44" spans="1:2" x14ac:dyDescent="0.3">
      <c r="A44">
        <v>33</v>
      </c>
      <c r="B44">
        <f>_xlfn.NORM.DIST(33,B1,B2,FALSE)</f>
        <v>1.4529584728256053E-3</v>
      </c>
    </row>
    <row r="45" spans="1:2" x14ac:dyDescent="0.3">
      <c r="A45">
        <v>34</v>
      </c>
      <c r="B45">
        <f>_xlfn.NORM.DIST(34,B1,B2,FALSE)</f>
        <v>4.7673447942518204E-4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Sapkota</dc:creator>
  <cp:lastModifiedBy>Sakshi Sapkota</cp:lastModifiedBy>
  <dcterms:created xsi:type="dcterms:W3CDTF">2026-05-13T09:07:57Z</dcterms:created>
  <dcterms:modified xsi:type="dcterms:W3CDTF">2026-05-13T09:59:37Z</dcterms:modified>
</cp:coreProperties>
</file>