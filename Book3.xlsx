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pm\"/>
    </mc:Choice>
  </mc:AlternateContent>
  <xr:revisionPtr revIDLastSave="0" documentId="8_{3BCCCA7C-AD86-4D17-AB5E-508D7CB97632}" xr6:coauthVersionLast="47" xr6:coauthVersionMax="47" xr10:uidLastSave="{00000000-0000-0000-0000-000000000000}"/>
  <bookViews>
    <workbookView xWindow="-96" yWindow="0" windowWidth="11712" windowHeight="12336" xr2:uid="{96816E68-1B5E-4A29-9750-69E9A1C2D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</calcChain>
</file>

<file path=xl/sharedStrings.xml><?xml version="1.0" encoding="utf-8"?>
<sst xmlns="http://schemas.openxmlformats.org/spreadsheetml/2006/main" count="32" uniqueCount="32">
  <si>
    <t>BAC (Budget at Completion)</t>
  </si>
  <si>
    <t>PV (Planned Value)</t>
  </si>
  <si>
    <t>EV (Earned Value)</t>
  </si>
  <si>
    <t>AC (Actual Cost)</t>
  </si>
  <si>
    <t>Metric</t>
  </si>
  <si>
    <t>Formula</t>
  </si>
  <si>
    <t>calculation</t>
  </si>
  <si>
    <t>result</t>
  </si>
  <si>
    <t>interpretation</t>
  </si>
  <si>
    <t>SV (Schedule Variance)</t>
  </si>
  <si>
    <t>EV - PV</t>
  </si>
  <si>
    <t>Behind Schedule</t>
  </si>
  <si>
    <t>SPI (Schedule Performance Index)</t>
  </si>
  <si>
    <t>EV / PV</t>
  </si>
  <si>
    <t>80% efficiency</t>
  </si>
  <si>
    <t>CV (Cost Variance)</t>
  </si>
  <si>
    <t>EV - AC</t>
  </si>
  <si>
    <t>Over Budget</t>
  </si>
  <si>
    <t>CPI (Cost Performance Index)</t>
  </si>
  <si>
    <t>EV / AC</t>
  </si>
  <si>
    <t>Cost Overrun</t>
  </si>
  <si>
    <t>EAC (Estimate at Completion)</t>
  </si>
  <si>
    <t>BAC / CPI</t>
  </si>
  <si>
    <t>Revised total cost</t>
  </si>
  <si>
    <t>VAC (Variance at Completion)</t>
  </si>
  <si>
    <t>BAC - EAC</t>
  </si>
  <si>
    <t>Expected overrun</t>
  </si>
  <si>
    <t>sakshi sapkota</t>
  </si>
  <si>
    <t>Month</t>
  </si>
  <si>
    <t>PV</t>
  </si>
  <si>
    <t>EV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</si>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</sst>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S-Curve — PV vs EV vs AC</a:t>
            </a:r>
            <a:endParaRPr lang="en-US"/>
          </a:p>
        </c:rich>
      </c:tx>
      <c:layout>
        <c:manualLayout>
          <c:xMode val="edge"/>
          <c:yMode val="edge"/>
          <c:x val="0.31742344706911629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Sheet1!$A$16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7C9-4F9A-A451-50086BEAF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Sheet1!$A$17:$A$22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C9-4F9A-A451-50086BEAFF79}"/>
            </c:ext>
          </c:extLst>
        </c:ser>
        <c:ser>
          <c:idx val="1"/>
          <c:order val="1"/>
          <c:tx>
            <c:strRef>
              <c:f>Sheet1!$B$16</c:f>
              <c:strCache>
                <c:ptCount val="1"/>
                <c:pt idx="0">
                  <c:v>PV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Sheet1!$B$17:$B$22</c:f>
              <c:numCache>
                <c:formatCode>General</c:formatCode>
                <c:ptCount val="6"/>
                <c:pt idx="0">
                  <c:v>1500</c:v>
                </c:pt>
                <c:pt idx="1">
                  <c:v>3000</c:v>
                </c:pt>
                <c:pt idx="2">
                  <c:v>4800</c:v>
                </c:pt>
                <c:pt idx="3">
                  <c:v>6500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C9-4F9A-A451-50086BEAFF79}"/>
            </c:ext>
          </c:extLst>
        </c:ser>
        <c:ser>
          <c:idx val="2"/>
          <c:order val="2"/>
          <c:tx>
            <c:strRef>
              <c:f>Sheet1!$C$16</c:f>
              <c:strCache>
                <c:ptCount val="1"/>
                <c:pt idx="0">
                  <c:v>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Sheet1!$C$17:$C$22</c:f>
              <c:numCache>
                <c:formatCode>General</c:formatCode>
                <c:ptCount val="6"/>
                <c:pt idx="0">
                  <c:v>1000</c:v>
                </c:pt>
                <c:pt idx="1">
                  <c:v>2200</c:v>
                </c:pt>
                <c:pt idx="2">
                  <c:v>3500</c:v>
                </c:pt>
                <c:pt idx="3">
                  <c:v>4800</c:v>
                </c:pt>
                <c:pt idx="4">
                  <c:v>6200</c:v>
                </c:pt>
                <c:pt idx="5">
                  <c:v>7200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F9A-A451-50086BEAFF79}"/>
            </c:ext>
          </c:extLst>
        </c:ser>
        <c:ser>
          <c:idx val="3"/>
          <c:order val="3"/>
          <c:tx>
            <c:strRef>
              <c:f>Sheet1!$D$16</c:f>
              <c:strCache>
                <c:ptCount val="1"/>
                <c:pt idx="0">
                  <c:v>AC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Sheet1!$D$17:$D$22</c:f>
              <c:numCache>
                <c:formatCode>General</c:formatCode>
                <c:ptCount val="6"/>
                <c:pt idx="0">
                  <c:v>1200</c:v>
                </c:pt>
                <c:pt idx="1">
                  <c:v>2600</c:v>
                </c:pt>
                <c:pt idx="2">
                  <c:v>4100</c:v>
                </c:pt>
                <c:pt idx="3">
                  <c:v>5700</c:v>
                </c:pt>
                <c:pt idx="4">
                  <c:v>7300</c:v>
                </c:pt>
                <c:pt idx="5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F9A-A451-50086BEAFF79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235935"/>
        <c:axId val="1715232095"/>
      </c:lineChart>
      <c:catAx>
        <c:axId val="1715235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32095"/>
        <c:crosses val="autoZero"/>
        <c:auto val="1"/>
        <c:lblAlgn val="ctr"/>
        <c:lblOffset val="100"/>
        <c:noMultiLvlLbl val="0"/>
      </c:catAx>
      <c:valAx>
        <c:axId val="171523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3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1043940</xdr:colOff>
      <xdr:row>22</xdr:row>
      <xdr:rowOff>91440</xdr:rowOff>
    </xdr:from>
    <xdr:to>
      <xdr:col>4</xdr:col>
      <xdr:colOff>556260</xdr:colOff>
      <xdr:row>37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E2A2C-6527-6E8B-A6EC-1284E2D08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3EFA-8629-46F7-83C0-204168050BC9}">
  <dimension ref="A1:E22"/>
  <sheetViews>
    <sheetView tabSelected="1" topLeftCell="A13" workbookViewId="0">
      <selection activeCell="F39" sqref="F39"/>
    </sheetView>
  </sheetViews>
  <sheetFormatPr defaultRowHeight="14.4" x14ac:dyDescent="0.3"/>
  <cols>
    <col min="1" max="1" width="28.33203125" bestFit="1" customWidth="1"/>
    <col min="2" max="2" width="16.21875" bestFit="1" customWidth="1"/>
    <col min="3" max="3" width="15.21875" bestFit="1" customWidth="1"/>
    <col min="4" max="4" width="14" bestFit="1" customWidth="1"/>
    <col min="5" max="5" width="14.44140625" bestFit="1" customWidth="1"/>
  </cols>
  <sheetData>
    <row r="1" spans="1:5" x14ac:dyDescent="0.3">
      <c r="A1" t="s">
        <v>0</v>
      </c>
      <c r="B1">
        <v>18000</v>
      </c>
    </row>
    <row r="2" spans="1:5" x14ac:dyDescent="0.3">
      <c r="A2" t="s">
        <v>1</v>
      </c>
      <c r="B2">
        <v>9000</v>
      </c>
    </row>
    <row r="3" spans="1:5" x14ac:dyDescent="0.3">
      <c r="A3" t="s">
        <v>2</v>
      </c>
      <c r="B3">
        <v>7200</v>
      </c>
    </row>
    <row r="4" spans="1:5" x14ac:dyDescent="0.3">
      <c r="A4" t="s">
        <v>3</v>
      </c>
      <c r="B4">
        <v>8500</v>
      </c>
      <c r="D4" t="s">
        <v>27</v>
      </c>
    </row>
    <row r="7" spans="1:5" x14ac:dyDescent="0.3">
      <c r="A7" t="s">
        <v>4</v>
      </c>
      <c r="B7" t="s">
        <v>5</v>
      </c>
      <c r="C7" t="s">
        <v>6</v>
      </c>
      <c r="D7" t="s">
        <v>7</v>
      </c>
      <c r="E7" t="s">
        <v>8</v>
      </c>
    </row>
    <row r="8" spans="1:5" x14ac:dyDescent="0.3">
      <c r="A8" t="s">
        <v>9</v>
      </c>
      <c r="B8" t="s">
        <v>10</v>
      </c>
      <c r="C8">
        <f>B3-B2</f>
        <v>-1800</v>
      </c>
      <c r="D8">
        <v>-1800</v>
      </c>
      <c r="E8" t="s">
        <v>11</v>
      </c>
    </row>
    <row r="9" spans="1:5" x14ac:dyDescent="0.3">
      <c r="A9" t="s">
        <v>12</v>
      </c>
      <c r="B9" t="s">
        <v>13</v>
      </c>
      <c r="C9">
        <f>B3/B2</f>
        <v>0.8</v>
      </c>
      <c r="D9">
        <v>0.8</v>
      </c>
      <c r="E9" t="s">
        <v>14</v>
      </c>
    </row>
    <row r="10" spans="1:5" x14ac:dyDescent="0.3">
      <c r="A10" t="s">
        <v>15</v>
      </c>
      <c r="B10" t="s">
        <v>16</v>
      </c>
      <c r="C10">
        <f>B3-B4</f>
        <v>-1300</v>
      </c>
      <c r="D10">
        <v>-1300</v>
      </c>
      <c r="E10" t="s">
        <v>17</v>
      </c>
    </row>
    <row r="11" spans="1:5" x14ac:dyDescent="0.3">
      <c r="A11" t="s">
        <v>18</v>
      </c>
      <c r="B11" t="s">
        <v>19</v>
      </c>
      <c r="C11">
        <f>B3/B4</f>
        <v>0.84705882352941175</v>
      </c>
      <c r="D11">
        <v>0.84699999999999998</v>
      </c>
      <c r="E11" t="s">
        <v>20</v>
      </c>
    </row>
    <row r="12" spans="1:5" x14ac:dyDescent="0.3">
      <c r="A12" t="s">
        <v>21</v>
      </c>
      <c r="B12" t="s">
        <v>22</v>
      </c>
      <c r="C12">
        <f>B1/C11</f>
        <v>21250</v>
      </c>
      <c r="D12">
        <v>21251</v>
      </c>
      <c r="E12" t="s">
        <v>23</v>
      </c>
    </row>
    <row r="13" spans="1:5" x14ac:dyDescent="0.3">
      <c r="A13" t="s">
        <v>24</v>
      </c>
      <c r="B13" t="s">
        <v>25</v>
      </c>
      <c r="C13">
        <f>B1-C12</f>
        <v>-3250</v>
      </c>
      <c r="D13">
        <v>-3251</v>
      </c>
      <c r="E13" t="s">
        <v>26</v>
      </c>
    </row>
    <row r="16" spans="1:5" x14ac:dyDescent="0.3">
      <c r="A16" t="s">
        <v>28</v>
      </c>
      <c r="B16" t="s">
        <v>29</v>
      </c>
      <c r="C16" t="s">
        <v>30</v>
      </c>
      <c r="D16" t="s">
        <v>31</v>
      </c>
    </row>
    <row r="17" spans="1:4" x14ac:dyDescent="0.3">
      <c r="A17">
        <v>1</v>
      </c>
      <c r="B17">
        <v>1500</v>
      </c>
      <c r="C17">
        <v>1000</v>
      </c>
      <c r="D17">
        <v>1200</v>
      </c>
    </row>
    <row r="18" spans="1:4" x14ac:dyDescent="0.3">
      <c r="A18">
        <v>2</v>
      </c>
      <c r="B18">
        <v>3000</v>
      </c>
      <c r="C18">
        <v>2200</v>
      </c>
      <c r="D18">
        <v>2600</v>
      </c>
    </row>
    <row r="19" spans="1:4" x14ac:dyDescent="0.3">
      <c r="A19">
        <v>3</v>
      </c>
      <c r="B19">
        <v>4800</v>
      </c>
      <c r="C19">
        <v>3500</v>
      </c>
      <c r="D19">
        <v>4100</v>
      </c>
    </row>
    <row r="20" spans="1:4" x14ac:dyDescent="0.3">
      <c r="A20">
        <v>4</v>
      </c>
      <c r="B20">
        <v>6500</v>
      </c>
      <c r="C20">
        <v>4800</v>
      </c>
      <c r="D20">
        <v>5700</v>
      </c>
    </row>
    <row r="21" spans="1:4" x14ac:dyDescent="0.3">
      <c r="A21">
        <v>5</v>
      </c>
      <c r="B21">
        <v>8000</v>
      </c>
      <c r="C21">
        <v>6200</v>
      </c>
      <c r="D21">
        <v>7300</v>
      </c>
    </row>
    <row r="22" spans="1:4" x14ac:dyDescent="0.3">
      <c r="A22">
        <v>6</v>
      </c>
      <c r="B22">
        <v>9000</v>
      </c>
      <c r="C22">
        <v>7200</v>
      </c>
      <c r="D22">
        <v>8500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Sapkota</dc:creator>
  <cp:lastModifiedBy>Sakshi Sapkota</cp:lastModifiedBy>
  <dcterms:created xsi:type="dcterms:W3CDTF">2026-05-12T16:40:00Z</dcterms:created>
  <dcterms:modified xsi:type="dcterms:W3CDTF">2026-05-12T16:54:36Z</dcterms:modified>
</cp:coreProperties>
</file>